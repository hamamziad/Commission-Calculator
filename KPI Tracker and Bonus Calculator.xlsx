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nationald-my.sharepoint.com/personal/ziad_hamam_nationaldebtrelief_com/Documents/Desktop/"/>
    </mc:Choice>
  </mc:AlternateContent>
  <xr:revisionPtr revIDLastSave="49" documentId="8_{CC3B0E42-3DF2-47ED-A1D6-EC88A5A9BC07}" xr6:coauthVersionLast="47" xr6:coauthVersionMax="47" xr10:uidLastSave="{1226DE47-426F-4F71-AC00-EF6CC3F53C75}"/>
  <bookViews>
    <workbookView xWindow="-28920" yWindow="-120" windowWidth="29040" windowHeight="15720" xr2:uid="{00000000-000D-0000-FFFF-FFFF00000000}"/>
  </bookViews>
  <sheets>
    <sheet name="Commiss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I16" i="2" s="1"/>
  <c r="H15" i="2"/>
  <c r="H16" i="2" s="1"/>
  <c r="D17" i="2"/>
  <c r="D14" i="2"/>
  <c r="F15" i="2" l="1"/>
  <c r="D16" i="2"/>
  <c r="D15" i="2"/>
  <c r="B18" i="2" l="1" a="1"/>
  <c r="B18" i="2" s="1"/>
  <c r="F17" i="2"/>
  <c r="B20" i="2" l="1"/>
  <c r="C2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<sst xmlns="http://schemas.openxmlformats.org/spreadsheetml/2006/main" count="53" uniqueCount="41">
  <si>
    <t>KPI Tracker and Bonus Calculator - Reach</t>
  </si>
  <si>
    <t>NDR</t>
  </si>
  <si>
    <t>LORG</t>
  </si>
  <si>
    <t>Bonus</t>
  </si>
  <si>
    <t>KPI</t>
  </si>
  <si>
    <t>Tier 0</t>
  </si>
  <si>
    <t>Tier 1</t>
  </si>
  <si>
    <t>Tier 2</t>
  </si>
  <si>
    <t>Tier 3</t>
  </si>
  <si>
    <t>Tier 4</t>
  </si>
  <si>
    <t>SIFs</t>
  </si>
  <si>
    <t>&lt;=99</t>
  </si>
  <si>
    <t>&lt;=111</t>
  </si>
  <si>
    <t>Same Month Grad</t>
  </si>
  <si>
    <t>&lt;=5</t>
  </si>
  <si>
    <t>&lt;=7</t>
  </si>
  <si>
    <t>Graduation Total</t>
  </si>
  <si>
    <t>&lt;=30</t>
  </si>
  <si>
    <t>&lt;=45</t>
  </si>
  <si>
    <t>Old CC %</t>
  </si>
  <si>
    <t>&lt;=58</t>
  </si>
  <si>
    <t>&lt;=18.99%</t>
  </si>
  <si>
    <t>MONTHLY BONUS</t>
  </si>
  <si>
    <t>SIFs Paid Goal</t>
  </si>
  <si>
    <t>SIFs Accepted Goal</t>
  </si>
  <si>
    <t>TOTAL SIFS</t>
  </si>
  <si>
    <t>TIER 1-4</t>
  </si>
  <si>
    <t>Same Month Graduations</t>
  </si>
  <si>
    <t>Total Graduations</t>
  </si>
  <si>
    <t>**BONUS**</t>
  </si>
  <si>
    <t>TOTAL COMMISSION</t>
  </si>
  <si>
    <t>SPIFF:</t>
  </si>
  <si>
    <t xml:space="preserve">Total Commission: </t>
  </si>
  <si>
    <t>Accepted SIFs</t>
  </si>
  <si>
    <t>https://debtrelief.my.salesforce.com/00O1H0000081XNTUA2</t>
  </si>
  <si>
    <t>Paid SIFs</t>
  </si>
  <si>
    <t>https://debtrelief.my.salesforce.com/00O1H000006LmMyUAK</t>
  </si>
  <si>
    <t>Old SIFs</t>
  </si>
  <si>
    <t>https://debtrelief.my.salesforce.com/00O1H000008ACKxUAO</t>
  </si>
  <si>
    <t>Graduations</t>
  </si>
  <si>
    <t>Can be found using the email TL sends you every few weeks or 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</si>
</sst>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$-409]#,##0.00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DBDBDB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/>
    </xf>
    <xf numFmtId="44" fontId="1" fillId="4" borderId="6" xfId="1" applyFont="1" applyFill="1" applyBorder="1" applyAlignment="1">
      <alignment horizontal="center"/>
    </xf>
    <xf numFmtId="6" fontId="0" fillId="0" borderId="5" xfId="0" applyNumberFormat="1" applyBorder="1" applyAlignment="1">
      <alignment horizontal="right"/>
    </xf>
    <xf numFmtId="6" fontId="0" fillId="0" borderId="0" xfId="0" applyNumberFormat="1" applyAlignment="1">
      <alignment horizontal="right"/>
    </xf>
    <xf numFmtId="44" fontId="0" fillId="0" borderId="0" xfId="0" applyNumberFormat="1"/>
    <xf numFmtId="0" fontId="0" fillId="0" borderId="8" xfId="0" applyBorder="1"/>
    <xf numFmtId="1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1" fillId="4" borderId="12" xfId="0" applyFont="1" applyFill="1" applyBorder="1" applyAlignment="1">
      <alignment horizontal="center"/>
    </xf>
    <xf numFmtId="44" fontId="1" fillId="4" borderId="13" xfId="1" applyFont="1" applyFill="1" applyBorder="1" applyAlignment="1">
      <alignment horizontal="center"/>
    </xf>
    <xf numFmtId="10" fontId="0" fillId="0" borderId="14" xfId="2" applyNumberFormat="1" applyFon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1" fontId="6" fillId="0" borderId="0" xfId="0" applyNumberFormat="1" applyFont="1"/>
    <xf numFmtId="0" fontId="6" fillId="0" borderId="0" xfId="0" applyFont="1"/>
    <xf numFmtId="1" fontId="1" fillId="0" borderId="0" xfId="0" applyNumberFormat="1" applyFont="1"/>
    <xf numFmtId="10" fontId="0" fillId="0" borderId="0" xfId="2" applyNumberFormat="1" applyFont="1" applyAlignment="1">
      <alignment horizontal="center"/>
    </xf>
    <xf numFmtId="0" fontId="1" fillId="6" borderId="0" xfId="0" applyFont="1" applyFill="1"/>
    <xf numFmtId="1" fontId="0" fillId="6" borderId="11" xfId="0" applyNumberFormat="1" applyFill="1" applyBorder="1"/>
    <xf numFmtId="1" fontId="0" fillId="6" borderId="13" xfId="0" applyNumberFormat="1" applyFill="1" applyBorder="1"/>
    <xf numFmtId="1" fontId="0" fillId="6" borderId="15" xfId="0" applyNumberFormat="1" applyFill="1" applyBorder="1"/>
    <xf numFmtId="164" fontId="0" fillId="6" borderId="0" xfId="0" applyNumberFormat="1" applyFill="1"/>
    <xf numFmtId="0" fontId="0" fillId="6" borderId="0" xfId="0" applyFill="1"/>
    <xf numFmtId="0" fontId="1" fillId="4" borderId="6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0" borderId="12" xfId="0" applyFont="1" applyBorder="1"/>
    <xf numFmtId="0" fontId="1" fillId="0" borderId="17" xfId="0" applyFont="1" applyBorder="1"/>
    <xf numFmtId="1" fontId="0" fillId="0" borderId="14" xfId="2" applyNumberFormat="1" applyFont="1" applyBorder="1" applyAlignment="1">
      <alignment horizontal="center"/>
    </xf>
    <xf numFmtId="1" fontId="0" fillId="0" borderId="15" xfId="2" applyNumberFormat="1" applyFont="1" applyBorder="1" applyAlignment="1">
      <alignment horizontal="center"/>
    </xf>
    <xf numFmtId="0" fontId="8" fillId="8" borderId="19" xfId="0" applyFont="1" applyFill="1" applyBorder="1"/>
    <xf numFmtId="0" fontId="8" fillId="8" borderId="21" xfId="0" applyFont="1" applyFill="1" applyBorder="1"/>
    <xf numFmtId="0" fontId="8" fillId="0" borderId="22" xfId="0" applyFont="1" applyBorder="1"/>
    <xf numFmtId="0" fontId="8" fillId="0" borderId="19" xfId="0" applyFont="1" applyBorder="1"/>
    <xf numFmtId="0" fontId="8" fillId="0" borderId="5" xfId="0" applyFont="1" applyBorder="1"/>
    <xf numFmtId="0" fontId="8" fillId="8" borderId="20" xfId="0" applyFont="1" applyFill="1" applyBorder="1" applyAlignment="1">
      <alignment horizontal="center"/>
    </xf>
    <xf numFmtId="8" fontId="8" fillId="8" borderId="20" xfId="0" applyNumberFormat="1" applyFont="1" applyFill="1" applyBorder="1" applyAlignment="1">
      <alignment horizontal="center"/>
    </xf>
    <xf numFmtId="8" fontId="8" fillId="8" borderId="3" xfId="0" applyNumberFormat="1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2" borderId="7" xfId="0" applyNumberFormat="1" applyFill="1" applyBorder="1" applyAlignment="1">
      <alignment horizontal="right"/>
    </xf>
    <xf numFmtId="164" fontId="0" fillId="2" borderId="3" xfId="0" applyNumberForma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4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8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DC2E-5F6C-4306-B14C-54C41FA3D703}">
  <dimension ref="A1:M30"/>
  <sheetViews>
    <sheetView tabSelected="1" zoomScaleNormal="100" zoomScaleSheetLayoutView="100" workbookViewId="0">
      <selection activeCell="H19" sqref="H19"/>
    </sheetView>
  </sheetViews>
  <sheetFormatPr defaultColWidth="8.42578125" defaultRowHeight="15" x14ac:dyDescent="0.25"/>
  <cols>
    <col min="1" max="1" width="24" bestFit="1" customWidth="1"/>
    <col min="2" max="2" width="12.28515625" customWidth="1"/>
    <col min="3" max="7" width="10.7109375" customWidth="1"/>
    <col min="8" max="8" width="24" customWidth="1"/>
    <col min="9" max="13" width="10.7109375" customWidth="1"/>
  </cols>
  <sheetData>
    <row r="1" spans="1:13" ht="31.5" x14ac:dyDescent="0.5">
      <c r="A1" s="55" t="s">
        <v>0</v>
      </c>
      <c r="B1" s="55"/>
      <c r="C1" s="55"/>
      <c r="D1" s="55"/>
      <c r="E1" s="55"/>
      <c r="F1" s="55"/>
    </row>
    <row r="3" spans="1:13" ht="18.75" x14ac:dyDescent="0.3">
      <c r="A3" s="58" t="s">
        <v>1</v>
      </c>
      <c r="B3" s="59"/>
      <c r="C3" s="59"/>
      <c r="D3" s="59"/>
      <c r="E3" s="59"/>
      <c r="F3" s="60"/>
      <c r="G3" s="10"/>
      <c r="H3" s="52" t="s">
        <v>2</v>
      </c>
      <c r="I3" s="53"/>
      <c r="J3" s="53"/>
      <c r="K3" s="53"/>
      <c r="L3" s="53"/>
      <c r="M3" s="54"/>
    </row>
    <row r="4" spans="1:13" x14ac:dyDescent="0.25">
      <c r="A4" s="19" t="s">
        <v>3</v>
      </c>
      <c r="B4" s="11"/>
      <c r="C4" s="11">
        <v>300</v>
      </c>
      <c r="D4" s="11">
        <v>400</v>
      </c>
      <c r="E4" s="11">
        <v>500</v>
      </c>
      <c r="F4" s="20">
        <v>600</v>
      </c>
      <c r="G4" s="10"/>
      <c r="H4" s="41" t="s">
        <v>3</v>
      </c>
      <c r="I4" s="46"/>
      <c r="J4" s="47">
        <v>300</v>
      </c>
      <c r="K4" s="47">
        <v>400</v>
      </c>
      <c r="L4" s="47">
        <v>500</v>
      </c>
      <c r="M4" s="48">
        <v>600</v>
      </c>
    </row>
    <row r="5" spans="1:13" x14ac:dyDescent="0.25">
      <c r="A5" s="19" t="s">
        <v>4</v>
      </c>
      <c r="B5" s="35" t="s">
        <v>5</v>
      </c>
      <c r="C5" s="35" t="s">
        <v>6</v>
      </c>
      <c r="D5" s="35" t="s">
        <v>7</v>
      </c>
      <c r="E5" s="35" t="s">
        <v>8</v>
      </c>
      <c r="F5" s="36" t="s">
        <v>9</v>
      </c>
      <c r="G5" s="10"/>
      <c r="H5" s="42" t="s">
        <v>4</v>
      </c>
      <c r="I5" s="46" t="s">
        <v>5</v>
      </c>
      <c r="J5" s="46" t="s">
        <v>6</v>
      </c>
      <c r="K5" s="46" t="s">
        <v>7</v>
      </c>
      <c r="L5" s="46" t="s">
        <v>8</v>
      </c>
      <c r="M5" s="49" t="s">
        <v>9</v>
      </c>
    </row>
    <row r="6" spans="1:13" x14ac:dyDescent="0.25">
      <c r="A6" s="37" t="s">
        <v>10</v>
      </c>
      <c r="B6" s="9" t="s">
        <v>11</v>
      </c>
      <c r="C6" s="22">
        <v>87</v>
      </c>
      <c r="D6" s="22">
        <v>100</v>
      </c>
      <c r="E6" s="22">
        <v>113</v>
      </c>
      <c r="F6" s="23">
        <v>126</v>
      </c>
      <c r="G6" s="10"/>
      <c r="H6" s="43" t="s">
        <v>10</v>
      </c>
      <c r="I6" s="50" t="s">
        <v>12</v>
      </c>
      <c r="J6" s="22">
        <v>100</v>
      </c>
      <c r="K6" s="22">
        <v>109</v>
      </c>
      <c r="L6" s="22">
        <v>120</v>
      </c>
      <c r="M6" s="23">
        <v>145</v>
      </c>
    </row>
    <row r="7" spans="1:13" x14ac:dyDescent="0.25">
      <c r="A7" s="37" t="s">
        <v>13</v>
      </c>
      <c r="B7" s="9" t="s">
        <v>14</v>
      </c>
      <c r="C7" s="22">
        <v>8</v>
      </c>
      <c r="D7" s="22">
        <v>11</v>
      </c>
      <c r="E7" s="22">
        <v>15</v>
      </c>
      <c r="F7" s="23">
        <v>18</v>
      </c>
      <c r="G7" s="10"/>
      <c r="H7" s="44" t="s">
        <v>13</v>
      </c>
      <c r="I7" s="50" t="s">
        <v>15</v>
      </c>
      <c r="J7" s="22">
        <v>8</v>
      </c>
      <c r="K7" s="22">
        <v>11</v>
      </c>
      <c r="L7" s="22">
        <v>15</v>
      </c>
      <c r="M7" s="23">
        <v>18</v>
      </c>
    </row>
    <row r="8" spans="1:13" x14ac:dyDescent="0.25">
      <c r="A8" s="37" t="s">
        <v>16</v>
      </c>
      <c r="B8" s="9" t="s">
        <v>17</v>
      </c>
      <c r="C8" s="22">
        <v>31</v>
      </c>
      <c r="D8" s="22">
        <v>39</v>
      </c>
      <c r="E8" s="22">
        <v>49</v>
      </c>
      <c r="F8" s="23">
        <v>58</v>
      </c>
      <c r="G8" s="10"/>
      <c r="H8" s="44" t="s">
        <v>16</v>
      </c>
      <c r="I8" s="50" t="s">
        <v>18</v>
      </c>
      <c r="J8" s="22">
        <v>41</v>
      </c>
      <c r="K8" s="22">
        <v>52</v>
      </c>
      <c r="L8" s="22">
        <v>63</v>
      </c>
      <c r="M8" s="23">
        <v>72</v>
      </c>
    </row>
    <row r="9" spans="1:13" ht="15.75" thickBot="1" x14ac:dyDescent="0.3">
      <c r="A9" s="38" t="s">
        <v>19</v>
      </c>
      <c r="B9" s="21" t="s">
        <v>20</v>
      </c>
      <c r="C9" s="39">
        <v>46.17</v>
      </c>
      <c r="D9" s="39">
        <v>52.852499999999999</v>
      </c>
      <c r="E9" s="39">
        <v>58.927499999999995</v>
      </c>
      <c r="F9" s="40">
        <v>65.61</v>
      </c>
      <c r="G9" s="10"/>
      <c r="H9" s="45" t="s">
        <v>19</v>
      </c>
      <c r="I9" s="51" t="s">
        <v>21</v>
      </c>
      <c r="J9" s="39">
        <v>46.17</v>
      </c>
      <c r="K9" s="39">
        <v>52.852499999999999</v>
      </c>
      <c r="L9" s="39">
        <v>58.927499999999995</v>
      </c>
      <c r="M9" s="40">
        <v>65.61</v>
      </c>
    </row>
    <row r="10" spans="1:13" x14ac:dyDescent="0.25">
      <c r="C10" s="28"/>
      <c r="D10" s="28"/>
      <c r="E10" s="28"/>
      <c r="F10" s="28"/>
      <c r="G10" s="10"/>
    </row>
    <row r="11" spans="1:13" x14ac:dyDescent="0.25">
      <c r="D11" s="6"/>
      <c r="E11" s="5"/>
      <c r="F11" s="7"/>
      <c r="G11" s="10"/>
    </row>
    <row r="12" spans="1:13" ht="18.75" x14ac:dyDescent="0.3">
      <c r="A12" s="61" t="s">
        <v>22</v>
      </c>
      <c r="B12" s="61"/>
      <c r="C12" s="1"/>
      <c r="D12" s="5"/>
      <c r="E12" s="5"/>
      <c r="F12" s="7"/>
      <c r="G12" s="8"/>
    </row>
    <row r="13" spans="1:13" ht="15.75" thickBot="1" x14ac:dyDescent="0.3">
      <c r="E13" s="16"/>
      <c r="F13" s="16"/>
      <c r="G13" s="16"/>
      <c r="H13" t="s">
        <v>23</v>
      </c>
      <c r="I13" t="s">
        <v>24</v>
      </c>
    </row>
    <row r="14" spans="1:13" ht="15.75" thickBot="1" x14ac:dyDescent="0.3">
      <c r="A14" s="62" t="s">
        <v>25</v>
      </c>
      <c r="B14" s="63"/>
      <c r="C14" s="30">
        <v>19</v>
      </c>
      <c r="D14" s="14" t="e">
        <f>LOOKUP(C14, C6:F6, C4:F4)</f>
        <v>#N/A</v>
      </c>
      <c r="E14" s="16"/>
      <c r="F14" s="3" t="s">
        <v>26</v>
      </c>
      <c r="G14" s="16"/>
      <c r="H14" s="34">
        <v>110</v>
      </c>
      <c r="I14" s="34">
        <f>H14*1.1</f>
        <v>121.00000000000001</v>
      </c>
    </row>
    <row r="15" spans="1:13" x14ac:dyDescent="0.25">
      <c r="A15" s="64" t="s">
        <v>27</v>
      </c>
      <c r="B15" s="65"/>
      <c r="C15" s="31">
        <v>0</v>
      </c>
      <c r="D15" s="14" t="e">
        <f>LOOKUP(C15, C7:F7, C4:F4)</f>
        <v>#N/A</v>
      </c>
      <c r="E15" s="16"/>
      <c r="F15" s="4">
        <f>C14</f>
        <v>19</v>
      </c>
      <c r="G15" s="16"/>
      <c r="H15" s="27">
        <f>C14</f>
        <v>19</v>
      </c>
      <c r="I15" s="29">
        <v>43</v>
      </c>
    </row>
    <row r="16" spans="1:13" ht="15.75" thickBot="1" x14ac:dyDescent="0.3">
      <c r="A16" s="64" t="s">
        <v>28</v>
      </c>
      <c r="B16" s="65"/>
      <c r="C16" s="31">
        <v>10</v>
      </c>
      <c r="D16" s="14" t="e">
        <f>LOOKUP(C16, C8:F8, C4:F4)</f>
        <v>#N/A</v>
      </c>
      <c r="E16" s="16"/>
      <c r="F16" s="12">
        <v>7</v>
      </c>
      <c r="G16" s="16"/>
      <c r="H16" s="25">
        <f>SUM(H14-H15)</f>
        <v>91</v>
      </c>
      <c r="I16" s="26">
        <f>I14-I15</f>
        <v>78.000000000000014</v>
      </c>
    </row>
    <row r="17" spans="1:9" ht="15.75" thickBot="1" x14ac:dyDescent="0.3">
      <c r="A17" s="66" t="s">
        <v>19</v>
      </c>
      <c r="B17" s="67"/>
      <c r="C17" s="32">
        <v>37</v>
      </c>
      <c r="D17" s="14" t="e">
        <f>LOOKUP(C17, C9:F9, C4:F4)</f>
        <v>#N/A</v>
      </c>
      <c r="E17" s="16"/>
      <c r="F17" s="13">
        <f>F15*F16</f>
        <v>133</v>
      </c>
      <c r="G17" s="16"/>
    </row>
    <row r="18" spans="1:9" ht="15.75" thickBot="1" x14ac:dyDescent="0.3">
      <c r="A18" s="24" t="s">
        <v>29</v>
      </c>
      <c r="B18" s="56" cm="1">
        <f t="array" ref="B18">SUM(IFERROR(D14:D17,0))</f>
        <v>0</v>
      </c>
      <c r="C18" s="57"/>
      <c r="E18" s="16"/>
      <c r="F18" s="16"/>
      <c r="G18" s="16"/>
    </row>
    <row r="19" spans="1:9" ht="15.75" thickBot="1" x14ac:dyDescent="0.3">
      <c r="B19" s="15"/>
      <c r="C19" s="15"/>
      <c r="F19" s="16"/>
      <c r="G19" s="16"/>
      <c r="H19" s="18"/>
      <c r="I19" s="18"/>
    </row>
    <row r="20" spans="1:9" ht="15.75" thickBot="1" x14ac:dyDescent="0.3">
      <c r="A20" s="2" t="s">
        <v>30</v>
      </c>
      <c r="B20" s="56">
        <f>SUM(F17+B18)</f>
        <v>133</v>
      </c>
      <c r="C20" s="57"/>
    </row>
    <row r="21" spans="1:9" x14ac:dyDescent="0.25">
      <c r="A21" t="s">
        <v>31</v>
      </c>
      <c r="C21" s="33">
        <v>0</v>
      </c>
    </row>
    <row r="22" spans="1:9" x14ac:dyDescent="0.25">
      <c r="A22" t="s">
        <v>32</v>
      </c>
      <c r="C22" s="17">
        <f>B20+C21</f>
        <v>133</v>
      </c>
    </row>
    <row r="23" spans="1:9" x14ac:dyDescent="0.25">
      <c r="C23" s="17"/>
    </row>
    <row r="24" spans="1:9" x14ac:dyDescent="0.25">
      <c r="C24" s="17"/>
    </row>
    <row r="25" spans="1:9" x14ac:dyDescent="0.25">
      <c r="C25" s="17"/>
    </row>
    <row r="27" spans="1:9" x14ac:dyDescent="0.25">
      <c r="A27" t="s">
        <v>33</v>
      </c>
      <c r="B27" t="s">
        <v>34</v>
      </c>
    </row>
    <row r="28" spans="1:9" x14ac:dyDescent="0.25">
      <c r="A28" t="s">
        <v>35</v>
      </c>
      <c r="B28" t="s">
        <v>36</v>
      </c>
    </row>
    <row r="29" spans="1:9" x14ac:dyDescent="0.25">
      <c r="A29" t="s">
        <v>37</v>
      </c>
      <c r="B29" t="s">
        <v>38</v>
      </c>
    </row>
    <row r="30" spans="1:9" x14ac:dyDescent="0.25">
      <c r="A30" t="s">
        <v>39</v>
      </c>
      <c r="B30" t="s">
        <v>40</v>
      </c>
    </row>
  </sheetData>
  <protectedRanges>
    <protectedRange sqref="C14:C17" name="Range1"/>
    <protectedRange sqref="C21" name="Range2"/>
    <protectedRange sqref="H14:I14" name="Range3"/>
    <protectedRange sqref="I15" name="Range4"/>
  </protectedRanges>
  <mergeCells count="10">
    <mergeCell ref="H3:M3"/>
    <mergeCell ref="A1:F1"/>
    <mergeCell ref="B18:C18"/>
    <mergeCell ref="B20:C20"/>
    <mergeCell ref="A3:F3"/>
    <mergeCell ref="A12:B12"/>
    <mergeCell ref="A14:B14"/>
    <mergeCell ref="A15:B15"/>
    <mergeCell ref="A16:B16"/>
    <mergeCell ref="A17:B17"/>
  </mergeCells>
  <phoneticPr fontId="5" type="noConversion"/>
  <conditionalFormatting sqref="C6:F6">
    <cfRule type="expression" dxfId="7" priority="9">
      <formula>$C$14&gt;=C6</formula>
    </cfRule>
  </conditionalFormatting>
  <conditionalFormatting sqref="C7:F7">
    <cfRule type="expression" dxfId="6" priority="8">
      <formula>$C$15&gt;=C7</formula>
    </cfRule>
  </conditionalFormatting>
  <conditionalFormatting sqref="C8:F8">
    <cfRule type="expression" dxfId="5" priority="7">
      <formula>$C$16&gt;=C8</formula>
    </cfRule>
  </conditionalFormatting>
  <conditionalFormatting sqref="C9:F9">
    <cfRule type="expression" dxfId="4" priority="5">
      <formula>$C$17&gt;=C9</formula>
    </cfRule>
  </conditionalFormatting>
  <conditionalFormatting sqref="J6:M6">
    <cfRule type="expression" dxfId="3" priority="4">
      <formula>$C$14&gt;=J6</formula>
    </cfRule>
  </conditionalFormatting>
  <conditionalFormatting sqref="J7:M7">
    <cfRule type="expression" dxfId="2" priority="3">
      <formula>$C$15&gt;=J7</formula>
    </cfRule>
  </conditionalFormatting>
  <conditionalFormatting sqref="J8:M8">
    <cfRule type="expression" dxfId="1" priority="2">
      <formula>$C$16&gt;=J8</formula>
    </cfRule>
  </conditionalFormatting>
  <conditionalFormatting sqref="J9:M9">
    <cfRule type="expression" dxfId="0" priority="1">
      <formula>$C$17&gt;=J9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eeceef-fa02-4841-ac1e-75202c48839a">
      <Terms xmlns="http://schemas.microsoft.com/office/infopath/2007/PartnerControls"/>
    </lcf76f155ced4ddcb4097134ff3c332f>
    <TaxCatchAll xmlns="91a6938f-0790-40f9-be8a-58e8347f1009" xsi:nil="true"/>
    <ContestName xmlns="34eeceef-fa02-4841-ac1e-75202c48839a" xsi:nil="true"/>
    <Month xmlns="34eeceef-fa02-4841-ac1e-75202c48839a" xsi:nil="true"/>
    <CreatedBy xmlns="34eeceef-fa02-4841-ac1e-75202c4883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59AAC08842ED4EB6FFFB2950F03425" ma:contentTypeVersion="17" ma:contentTypeDescription="Create a new document." ma:contentTypeScope="" ma:versionID="75c8a45d8a1ff8cd22460a6e1bb71f55">
  <xsd:schema xmlns:xsd="http://www.w3.org/2001/XMLSchema" xmlns:xs="http://www.w3.org/2001/XMLSchema" xmlns:p="http://schemas.microsoft.com/office/2006/metadata/properties" xmlns:ns2="34eeceef-fa02-4841-ac1e-75202c48839a" xmlns:ns3="91a6938f-0790-40f9-be8a-58e8347f1009" targetNamespace="http://schemas.microsoft.com/office/2006/metadata/properties" ma:root="true" ma:fieldsID="3795351ced84b44d6ee9b4bc875901f5" ns2:_="" ns3:_="">
    <xsd:import namespace="34eeceef-fa02-4841-ac1e-75202c48839a"/>
    <xsd:import namespace="91a6938f-0790-40f9-be8a-58e8347f1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ContestName" minOccurs="0"/>
                <xsd:element ref="ns2:Month" minOccurs="0"/>
                <xsd:element ref="ns2:Creat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ceef-fa02-4841-ac1e-75202c488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7593b35-bf97-4e34-b706-9639a4c36d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stName" ma:index="21" nillable="true" ma:displayName="Contest Name " ma:format="Dropdown" ma:internalName="ContestName">
      <xsd:simpleType>
        <xsd:restriction base="dms:Text">
          <xsd:maxLength value="255"/>
        </xsd:restriction>
      </xsd:simpleType>
    </xsd:element>
    <xsd:element name="Month" ma:index="22" nillable="true" ma:displayName="Month" ma:format="Dropdown" ma:internalName="Month">
      <xsd:simpleType>
        <xsd:restriction base="dms:Text">
          <xsd:maxLength value="255"/>
        </xsd:restriction>
      </xsd:simpleType>
    </xsd:element>
    <xsd:element name="CreatedBy" ma:index="23" nillable="true" ma:displayName="Created By " ma:format="Dropdown" ma:internalName="CreatedBy">
      <xsd:simpleType>
        <xsd:restriction base="dms:Choice">
          <xsd:enumeration value="Malaya + Onye"/>
          <xsd:enumeration value="Malou + Katherine"/>
          <xsd:enumeration value="Mir + Ashly"/>
          <xsd:enumeration value="Noelle Halliday"/>
          <xsd:enumeration value="Ashley Mele"/>
          <xsd:enumeration value="Richard Oliv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6938f-0790-40f9-be8a-58e8347f100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c97e31d-e8d0-4d0f-94bd-0912cc4ba3e8}" ma:internalName="TaxCatchAll" ma:showField="CatchAllData" ma:web="91a6938f-0790-40f9-be8a-58e8347f1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3D54EA-737C-42E9-91EA-826A9999F8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C5220A-4FC0-4C56-997F-79245E666D85}">
  <ds:schemaRefs>
    <ds:schemaRef ds:uri="http://schemas.microsoft.com/office/2006/metadata/properties"/>
    <ds:schemaRef ds:uri="http://schemas.microsoft.com/office/infopath/2007/PartnerControls"/>
    <ds:schemaRef ds:uri="34eeceef-fa02-4841-ac1e-75202c48839a"/>
    <ds:schemaRef ds:uri="91a6938f-0790-40f9-be8a-58e8347f1009"/>
  </ds:schemaRefs>
</ds:datastoreItem>
</file>

<file path=customXml/itemProps3.xml><?xml version="1.0" encoding="utf-8"?>
<ds:datastoreItem xmlns:ds="http://schemas.openxmlformats.org/officeDocument/2006/customXml" ds:itemID="{F5D1D461-9586-4C27-B065-ABEA5B77F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eeceef-fa02-4841-ac1e-75202c48839a"/>
    <ds:schemaRef ds:uri="91a6938f-0790-40f9-be8a-58e8347f10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Chitchian</dc:creator>
  <cp:keywords/>
  <dc:description/>
  <cp:lastModifiedBy>Ziad Hamam</cp:lastModifiedBy>
  <cp:revision/>
  <dcterms:created xsi:type="dcterms:W3CDTF">2019-09-05T23:02:31Z</dcterms:created>
  <dcterms:modified xsi:type="dcterms:W3CDTF">2026-06-09T20:48:17Z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0x0101005359AAC08842ED4EB6FFFB2950F03425</vt:lpwstr>
  </property>
  <property fmtid="{D5CDD505-2E9C-101B-9397-08002B2CF9AE}" pid="3" name="MediaServiceImageTags">
    <vt:lpwstr/>
  </property>
</Properties>
</file>